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TOR.BRITO\Downloads\"/>
    </mc:Choice>
  </mc:AlternateContent>
  <xr:revisionPtr revIDLastSave="0" documentId="13_ncr:1_{21AE6B6E-173E-425E-95D7-723FCA64591C}" xr6:coauthVersionLast="47" xr6:coauthVersionMax="47" xr10:uidLastSave="{00000000-0000-0000-0000-000000000000}"/>
  <bookViews>
    <workbookView xWindow="-2070" yWindow="-16320" windowWidth="29040" windowHeight="15720" tabRatio="500" activeTab="2" xr2:uid="{00000000-000D-0000-FFFF-FFFF00000000}"/>
  </bookViews>
  <sheets>
    <sheet name="APP" sheetId="1" r:id="rId1"/>
    <sheet name="Perfis" sheetId="2" r:id="rId2"/>
    <sheet name="Evolução" sheetId="3" r:id="rId3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1" l="1"/>
  <c r="C20" i="1"/>
  <c r="E10" i="3"/>
  <c r="C25" i="1"/>
  <c r="D25" i="1" s="1"/>
  <c r="C18" i="1"/>
  <c r="C9" i="1"/>
  <c r="C15" i="1"/>
  <c r="C17" i="1" s="1"/>
  <c r="C34" i="3"/>
  <c r="C33" i="3"/>
  <c r="C32" i="3"/>
  <c r="C31" i="3"/>
  <c r="C30" i="3"/>
  <c r="C29" i="3"/>
  <c r="D28" i="3"/>
  <c r="E28" i="3" s="1"/>
  <c r="C28" i="3"/>
  <c r="C27" i="3"/>
  <c r="C26" i="3"/>
  <c r="C25" i="3"/>
  <c r="C24" i="3"/>
  <c r="C23" i="3"/>
  <c r="D22" i="3"/>
  <c r="E22" i="3" s="1"/>
  <c r="C22" i="3"/>
  <c r="C21" i="3"/>
  <c r="C20" i="3"/>
  <c r="C19" i="3"/>
  <c r="C18" i="3"/>
  <c r="C17" i="3"/>
  <c r="C16" i="3"/>
  <c r="D15" i="3"/>
  <c r="E15" i="3" s="1"/>
  <c r="C15" i="3"/>
  <c r="C14" i="3"/>
  <c r="C13" i="3"/>
  <c r="C12" i="3"/>
  <c r="C11" i="3"/>
  <c r="C10" i="3"/>
  <c r="D9" i="3"/>
  <c r="E9" i="3" s="1"/>
  <c r="C9" i="3"/>
  <c r="C8" i="3"/>
  <c r="C7" i="3"/>
  <c r="C6" i="3"/>
  <c r="C5" i="3"/>
  <c r="C30" i="1"/>
  <c r="D30" i="1" s="1"/>
  <c r="C29" i="1"/>
  <c r="D29" i="1" s="1"/>
  <c r="C28" i="1"/>
  <c r="D28" i="1" s="1"/>
  <c r="C27" i="1"/>
  <c r="D27" i="1" s="1"/>
  <c r="C26" i="1"/>
  <c r="D26" i="1" s="1"/>
  <c r="D16" i="3" l="1"/>
  <c r="E16" i="3" s="1"/>
  <c r="D10" i="3"/>
  <c r="D30" i="3"/>
  <c r="E30" i="3" s="1"/>
  <c r="D19" i="3"/>
  <c r="E19" i="3" s="1"/>
  <c r="D24" i="3"/>
  <c r="E24" i="3" s="1"/>
  <c r="D18" i="3"/>
  <c r="E18" i="3" s="1"/>
  <c r="D31" i="3"/>
  <c r="E31" i="3" s="1"/>
  <c r="D12" i="3"/>
  <c r="E12" i="3" s="1"/>
  <c r="D25" i="3"/>
  <c r="E25" i="3" s="1"/>
  <c r="D6" i="3"/>
  <c r="E6" i="3" s="1"/>
  <c r="D32" i="3"/>
  <c r="E32" i="3" s="1"/>
  <c r="D13" i="3"/>
  <c r="E13" i="3" s="1"/>
  <c r="D26" i="3"/>
  <c r="E26" i="3" s="1"/>
  <c r="D7" i="3"/>
  <c r="E7" i="3" s="1"/>
  <c r="D20" i="3"/>
  <c r="E20" i="3" s="1"/>
  <c r="D33" i="3"/>
  <c r="E33" i="3" s="1"/>
  <c r="D14" i="3"/>
  <c r="E14" i="3" s="1"/>
  <c r="D27" i="3"/>
  <c r="E27" i="3" s="1"/>
  <c r="D8" i="3"/>
  <c r="E8" i="3" s="1"/>
  <c r="D21" i="3"/>
  <c r="E21" i="3" s="1"/>
  <c r="D34" i="3"/>
  <c r="E34" i="3" s="1"/>
  <c r="D5" i="3"/>
  <c r="E5" i="3" s="1"/>
  <c r="D11" i="3"/>
  <c r="E11" i="3" s="1"/>
  <c r="D17" i="3"/>
  <c r="E17" i="3" s="1"/>
  <c r="D23" i="3"/>
  <c r="E23" i="3" s="1"/>
  <c r="D29" i="3"/>
  <c r="E29" i="3" s="1"/>
  <c r="D31" i="1"/>
  <c r="C31" i="1"/>
</calcChain>
</file>

<file path=xl/sharedStrings.xml><?xml version="1.0" encoding="utf-8"?>
<sst xmlns="http://schemas.openxmlformats.org/spreadsheetml/2006/main" count="89" uniqueCount="59">
  <si>
    <t>💰 SIMULADOR DE INVESTIMENTOS EM FIIs</t>
  </si>
  <si>
    <t>👤 SEU PERFIL</t>
  </si>
  <si>
    <t>Salário Mensal (R$)</t>
  </si>
  <si>
    <t>Rendimento Médio Mensal (%)</t>
  </si>
  <si>
    <t>Perfil de Investidor</t>
  </si>
  <si>
    <t>Moderado</t>
  </si>
  <si>
    <t>Sugestão de Aporte (30% do salário)</t>
  </si>
  <si>
    <t>📊 SIMULAÇÃO DE INVESTIMENTO</t>
  </si>
  <si>
    <t>Quanto investir por mês? (R$)</t>
  </si>
  <si>
    <t>Por quantos anos?</t>
  </si>
  <si>
    <t>Taxa de Rendimento Mensal (%)</t>
  </si>
  <si>
    <t>Patrimônio Acumulado</t>
  </si>
  <si>
    <t>Total Investido</t>
  </si>
  <si>
    <t>Rendimento Total</t>
  </si>
  <si>
    <t>Renda Mensal Estimada</t>
  </si>
  <si>
    <t>🏢 ALOCAÇÃO SUGERIDA POR TIPO DE FII</t>
  </si>
  <si>
    <t>TIPO DE FII</t>
  </si>
  <si>
    <t>ALOCAÇÃO %</t>
  </si>
  <si>
    <t>VALOR (R$)</t>
  </si>
  <si>
    <t>Papel (CRI/CRA)</t>
  </si>
  <si>
    <t>Tijolo (Lajes/Shopping)</t>
  </si>
  <si>
    <t>Híbridos</t>
  </si>
  <si>
    <t>FOFs</t>
  </si>
  <si>
    <t>Desenvolvimento</t>
  </si>
  <si>
    <t>Hotelaria</t>
  </si>
  <si>
    <t>TOTAL</t>
  </si>
  <si>
    <t>CHAVE</t>
  </si>
  <si>
    <t>PERFIL</t>
  </si>
  <si>
    <t>TIPO</t>
  </si>
  <si>
    <t>Conservador-papel</t>
  </si>
  <si>
    <t>Conservador</t>
  </si>
  <si>
    <t>papel</t>
  </si>
  <si>
    <t>Conservador-tijolo</t>
  </si>
  <si>
    <t>tijolo</t>
  </si>
  <si>
    <t>Conservador-hibridos</t>
  </si>
  <si>
    <t>hibridos</t>
  </si>
  <si>
    <t>Conservador-fofs</t>
  </si>
  <si>
    <t>fofs</t>
  </si>
  <si>
    <t>Conservador-desenvolvimento</t>
  </si>
  <si>
    <t>desenvolvimento</t>
  </si>
  <si>
    <t>Conservador-hotelaria</t>
  </si>
  <si>
    <t>hotelaria</t>
  </si>
  <si>
    <t>Moderado-papel</t>
  </si>
  <si>
    <t>Moderado-tijolo</t>
  </si>
  <si>
    <t>Moderado-hibridos</t>
  </si>
  <si>
    <t>Moderado-fofs</t>
  </si>
  <si>
    <t>Moderado-desenvolvimento</t>
  </si>
  <si>
    <t>Moderado-hotelaria</t>
  </si>
  <si>
    <t>Agressivo-papel</t>
  </si>
  <si>
    <t>Agressivo</t>
  </si>
  <si>
    <t>Agressivo-tijolo</t>
  </si>
  <si>
    <t>Agressivo-hibridos</t>
  </si>
  <si>
    <t>Agressivo-fofs</t>
  </si>
  <si>
    <t>Agressivo-desenvolvimento</t>
  </si>
  <si>
    <t>Agressivo-hotelaria</t>
  </si>
  <si>
    <t>📈 EVOLUÇÃO DO PATRIMÔNIO AO LONGO DO TEMPO</t>
  </si>
  <si>
    <t>Ano</t>
  </si>
  <si>
    <t>Patrimônio</t>
  </si>
  <si>
    <t>Renda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</si>
</sst>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0.0%"/>
  </numFmts>
  <fonts count="15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0000FF"/>
      <name val="Arial"/>
      <charset val="1"/>
    </font>
    <font>
      <b/>
      <sz val="11"/>
      <color rgb="FF008000"/>
      <name val="Arial"/>
      <charset val="1"/>
    </font>
    <font>
      <sz val="11"/>
      <color rgb="FF008000"/>
      <name val="Arial"/>
      <charset val="1"/>
    </font>
    <font>
      <b/>
      <sz val="13"/>
      <color rgb="FFFFFFFF"/>
      <name val="Arial"/>
      <charset val="1"/>
    </font>
    <font>
      <b/>
      <sz val="11"/>
      <color rgb="FF0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b/>
      <sz val="11"/>
      <name val="Cambria"/>
      <charset val="1"/>
    </font>
    <font>
      <b/>
      <sz val="11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78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D9E1F2"/>
        <bgColor rgb="FFE8E8E8"/>
      </patternFill>
    </fill>
    <fill>
      <patternFill patternType="solid">
        <fgColor rgb="FFC6E0B4"/>
        <bgColor rgb="FFD9E1F2"/>
      </patternFill>
    </fill>
    <fill>
      <patternFill patternType="solid">
        <fgColor rgb="FFE8E8E8"/>
        <bgColor rgb="FFF0F0F0"/>
      </patternFill>
    </fill>
    <fill>
      <patternFill patternType="solid">
        <fgColor rgb="FFFFC000"/>
        <bgColor rgb="FFFF9900"/>
      </patternFill>
    </fill>
    <fill>
      <patternFill patternType="solid">
        <fgColor rgb="FFB4C7E7"/>
        <bgColor rgb="FF99CCFF"/>
      </patternFill>
    </fill>
    <fill>
      <patternFill patternType="solid">
        <fgColor rgb="FFF0F0F0"/>
        <bgColor rgb="FFE8E8E8"/>
      </patternFill>
    </fill>
    <fill>
      <patternFill patternType="solid">
        <fgColor theme="9"/>
        <bgColor rgb="FF666699"/>
      </patternFill>
    </fill>
    <fill>
      <patternFill patternType="solid">
        <fgColor rgb="FFFFC000"/>
        <bgColor rgb="FFE8E8E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E8E8E8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left"/>
    </xf>
    <xf numFmtId="165" fontId="10" fillId="8" borderId="2" xfId="0" applyNumberFormat="1" applyFont="1" applyFill="1" applyBorder="1" applyAlignment="1">
      <alignment horizontal="center"/>
    </xf>
    <xf numFmtId="164" fontId="10" fillId="8" borderId="2" xfId="0" applyNumberFormat="1" applyFont="1" applyFill="1" applyBorder="1" applyAlignment="1">
      <alignment horizontal="right"/>
    </xf>
    <xf numFmtId="165" fontId="8" fillId="2" borderId="2" xfId="0" applyNumberFormat="1" applyFont="1" applyFill="1" applyBorder="1" applyAlignment="1">
      <alignment horizontal="center"/>
    </xf>
    <xf numFmtId="164" fontId="8" fillId="2" borderId="2" xfId="0" applyNumberFormat="1" applyFont="1" applyFill="1" applyBorder="1" applyAlignment="1">
      <alignment horizontal="right"/>
    </xf>
    <xf numFmtId="0" fontId="11" fillId="2" borderId="0" xfId="0" applyFont="1" applyFill="1" applyAlignment="1">
      <alignment horizontal="center"/>
    </xf>
    <xf numFmtId="165" fontId="0" fillId="0" borderId="0" xfId="0" applyNumberFormat="1"/>
    <xf numFmtId="0" fontId="1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right"/>
    </xf>
    <xf numFmtId="164" fontId="13" fillId="0" borderId="2" xfId="0" applyNumberFormat="1" applyFont="1" applyBorder="1" applyAlignment="1">
      <alignment horizontal="right"/>
    </xf>
    <xf numFmtId="0" fontId="0" fillId="9" borderId="2" xfId="0" applyFill="1" applyBorder="1" applyAlignment="1">
      <alignment horizontal="center"/>
    </xf>
    <xf numFmtId="164" fontId="0" fillId="9" borderId="2" xfId="0" applyNumberFormat="1" applyFill="1" applyBorder="1" applyAlignment="1">
      <alignment horizontal="right"/>
    </xf>
    <xf numFmtId="164" fontId="13" fillId="9" borderId="2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3" fillId="4" borderId="3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3" fillId="4" borderId="1" xfId="0" applyNumberFormat="1" applyFont="1" applyFill="1" applyBorder="1" applyAlignment="1">
      <alignment horizontal="right"/>
    </xf>
    <xf numFmtId="164" fontId="3" fillId="4" borderId="3" xfId="0" applyNumberFormat="1" applyFont="1" applyFill="1" applyBorder="1" applyAlignment="1">
      <alignment horizontal="right"/>
    </xf>
    <xf numFmtId="1" fontId="3" fillId="4" borderId="1" xfId="0" applyNumberFormat="1" applyFont="1" applyFill="1" applyBorder="1" applyAlignment="1">
      <alignment horizontal="right"/>
    </xf>
    <xf numFmtId="1" fontId="3" fillId="4" borderId="3" xfId="0" applyNumberFormat="1" applyFont="1" applyFill="1" applyBorder="1" applyAlignment="1">
      <alignment horizontal="right"/>
    </xf>
    <xf numFmtId="10" fontId="5" fillId="6" borderId="1" xfId="0" applyNumberFormat="1" applyFont="1" applyFill="1" applyBorder="1" applyAlignment="1">
      <alignment horizontal="right"/>
    </xf>
    <xf numFmtId="10" fontId="5" fillId="6" borderId="3" xfId="0" applyNumberFormat="1" applyFont="1" applyFill="1" applyBorder="1" applyAlignment="1">
      <alignment horizontal="right"/>
    </xf>
    <xf numFmtId="164" fontId="6" fillId="7" borderId="1" xfId="0" applyNumberFormat="1" applyFont="1" applyFill="1" applyBorder="1" applyAlignment="1">
      <alignment horizontal="right"/>
    </xf>
    <xf numFmtId="164" fontId="6" fillId="7" borderId="3" xfId="0" applyNumberFormat="1" applyFont="1" applyFill="1" applyBorder="1" applyAlignment="1">
      <alignment horizontal="right"/>
    </xf>
    <xf numFmtId="164" fontId="7" fillId="8" borderId="1" xfId="0" applyNumberFormat="1" applyFont="1" applyFill="1" applyBorder="1" applyAlignment="1">
      <alignment horizontal="right"/>
    </xf>
    <xf numFmtId="164" fontId="7" fillId="8" borderId="3" xfId="0" applyNumberFormat="1" applyFont="1" applyFill="1" applyBorder="1" applyAlignment="1">
      <alignment horizontal="right"/>
    </xf>
    <xf numFmtId="0" fontId="0" fillId="12" borderId="2" xfId="0" applyFill="1" applyBorder="1" applyAlignment="1">
      <alignment horizontal="center"/>
    </xf>
    <xf numFmtId="164" fontId="0" fillId="12" borderId="2" xfId="0" applyNumberFormat="1" applyFill="1" applyBorder="1" applyAlignment="1">
      <alignment horizontal="right"/>
    </xf>
    <xf numFmtId="164" fontId="13" fillId="12" borderId="2" xfId="0" applyNumberFormat="1" applyFont="1" applyFill="1" applyBorder="1" applyAlignment="1">
      <alignment horizontal="right"/>
    </xf>
    <xf numFmtId="0" fontId="0" fillId="13" borderId="2" xfId="0" applyFill="1" applyBorder="1" applyAlignment="1">
      <alignment horizontal="center"/>
    </xf>
    <xf numFmtId="164" fontId="0" fillId="13" borderId="2" xfId="0" applyNumberFormat="1" applyFill="1" applyBorder="1" applyAlignment="1">
      <alignment horizontal="right"/>
    </xf>
    <xf numFmtId="164" fontId="13" fillId="1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0F0F0"/>
      <rgbColor rgb="FFE8E8E8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78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APP!$C$24</c:f>
              <c:strCache>
                <c:ptCount val="1"/>
                <c:pt idx="0">
                  <c:v>ALOCAÇÃO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APP!$B$25:$B$30</c:f>
              <c:strCache>
                <c:ptCount val="6"/>
                <c:pt idx="0">
                  <c:v>Papel (CRI/CRA)</c:v>
                </c:pt>
                <c:pt idx="1">
                  <c:v>Tijolo (Lajes/Shopping)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APP!$C$25:$C$30</c:f>
              <c:numCache>
                <c:formatCode>0.0%</c:formatCode>
                <c:ptCount val="6"/>
                <c:pt idx="0">
                  <c:v>0.2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0.4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5-4D0F-A68E-5F591771FDE4}"/>
            </c:ext>
          </c:extLst>
        </c:ser>
        <c:ser>
          <c:idx val="1"/>
          <c:order val="1"/>
          <c:tx>
            <c:strRef>
              <c:f>APP!$D$24</c:f>
              <c:strCache>
                <c:ptCount val="1"/>
                <c:pt idx="0">
                  <c:v>VALOR (R$)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APP!$B$25:$B$30</c:f>
              <c:strCache>
                <c:ptCount val="6"/>
                <c:pt idx="0">
                  <c:v>Papel (CRI/CRA)</c:v>
                </c:pt>
                <c:pt idx="1">
                  <c:v>Tijolo (Lajes/Shopping)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APP!$D$25:$D$30</c:f>
              <c:numCache>
                <c:formatCode>"R$ "#,##0.00</c:formatCode>
                <c:ptCount val="6"/>
                <c:pt idx="0">
                  <c:v>300</c:v>
                </c:pt>
                <c:pt idx="1">
                  <c:v>150</c:v>
                </c:pt>
                <c:pt idx="2">
                  <c:v>75</c:v>
                </c:pt>
                <c:pt idx="3">
                  <c:v>75</c:v>
                </c:pt>
                <c:pt idx="4">
                  <c:v>600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15-4D0F-A68E-5F591771F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</xdr:colOff>
      <xdr:row>31</xdr:row>
      <xdr:rowOff>140017</xdr:rowOff>
    </xdr:from>
    <xdr:to>
      <xdr:col>3</xdr:col>
      <xdr:colOff>771525</xdr:colOff>
      <xdr:row>46</xdr:row>
      <xdr:rowOff>172402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CD03E6-1856-3293-ED88-5C3DC1A70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8"/>
  <sheetViews>
    <sheetView showGridLines="0" showRowColHeaders="0" zoomScaleNormal="100" workbookViewId="0">
      <selection activeCell="B14" sqref="B14"/>
    </sheetView>
  </sheetViews>
  <sheetFormatPr defaultColWidth="0" defaultRowHeight="14.4" zeroHeight="1" x14ac:dyDescent="0.3"/>
  <cols>
    <col min="1" max="1" width="3" customWidth="1"/>
    <col min="2" max="2" width="32.44140625" bestFit="1" customWidth="1"/>
    <col min="3" max="3" width="55.33203125" bestFit="1" customWidth="1"/>
    <col min="4" max="4" width="11.5546875" bestFit="1" customWidth="1"/>
    <col min="5" max="5" width="3" customWidth="1"/>
    <col min="6" max="16384" width="8.6640625" hidden="1"/>
  </cols>
  <sheetData>
    <row r="1" spans="2:4" x14ac:dyDescent="0.3"/>
    <row r="2" spans="2:4" ht="34.5" customHeight="1" x14ac:dyDescent="0.3">
      <c r="B2" s="3" t="s">
        <v>0</v>
      </c>
      <c r="C2" s="3"/>
      <c r="D2" s="3"/>
    </row>
    <row r="3" spans="2:4" x14ac:dyDescent="0.3"/>
    <row r="4" spans="2:4" ht="24.75" customHeight="1" x14ac:dyDescent="0.3">
      <c r="B4" s="25" t="s">
        <v>1</v>
      </c>
      <c r="C4" s="25"/>
      <c r="D4" s="25"/>
    </row>
    <row r="5" spans="2:4" x14ac:dyDescent="0.3">
      <c r="C5" s="28"/>
      <c r="D5" s="28"/>
    </row>
    <row r="6" spans="2:4" x14ac:dyDescent="0.3">
      <c r="B6" t="s">
        <v>2</v>
      </c>
      <c r="C6" s="19">
        <v>5000</v>
      </c>
      <c r="D6" s="20"/>
    </row>
    <row r="7" spans="2:4" x14ac:dyDescent="0.3">
      <c r="B7" t="s">
        <v>3</v>
      </c>
      <c r="C7" s="21">
        <v>6.0000000000000001E-3</v>
      </c>
      <c r="D7" s="22"/>
    </row>
    <row r="8" spans="2:4" x14ac:dyDescent="0.3">
      <c r="B8" t="s">
        <v>4</v>
      </c>
      <c r="C8" s="26" t="s">
        <v>49</v>
      </c>
      <c r="D8" s="27"/>
    </row>
    <row r="9" spans="2:4" x14ac:dyDescent="0.3">
      <c r="B9" t="s">
        <v>6</v>
      </c>
      <c r="C9" s="23">
        <f>C6*30%</f>
        <v>1500</v>
      </c>
      <c r="D9" s="24"/>
    </row>
    <row r="10" spans="2:4" x14ac:dyDescent="0.3">
      <c r="C10" s="28"/>
      <c r="D10" s="28"/>
    </row>
    <row r="11" spans="2:4" ht="24.75" customHeight="1" x14ac:dyDescent="0.3">
      <c r="B11" s="2" t="s">
        <v>7</v>
      </c>
      <c r="C11" s="2"/>
      <c r="D11" s="2"/>
    </row>
    <row r="12" spans="2:4" x14ac:dyDescent="0.3">
      <c r="C12" s="29"/>
      <c r="D12" s="29"/>
    </row>
    <row r="13" spans="2:4" x14ac:dyDescent="0.3">
      <c r="B13" t="s">
        <v>8</v>
      </c>
      <c r="C13" s="30">
        <v>1500</v>
      </c>
      <c r="D13" s="31"/>
    </row>
    <row r="14" spans="2:4" x14ac:dyDescent="0.3">
      <c r="B14" t="s">
        <v>9</v>
      </c>
      <c r="C14" s="32">
        <v>10</v>
      </c>
      <c r="D14" s="33"/>
    </row>
    <row r="15" spans="2:4" x14ac:dyDescent="0.3">
      <c r="B15" t="s">
        <v>10</v>
      </c>
      <c r="C15" s="34">
        <f>C7</f>
        <v>6.0000000000000001E-3</v>
      </c>
      <c r="D15" s="35"/>
    </row>
    <row r="16" spans="2:4" x14ac:dyDescent="0.3">
      <c r="C16" s="28"/>
      <c r="D16" s="28"/>
    </row>
    <row r="17" spans="2:4" ht="16.8" x14ac:dyDescent="0.3">
      <c r="B17" t="s">
        <v>11</v>
      </c>
      <c r="C17" s="36">
        <f>FV(C15,C14*12,-C13,0)</f>
        <v>262504.51419951225</v>
      </c>
      <c r="D17" s="37"/>
    </row>
    <row r="18" spans="2:4" x14ac:dyDescent="0.3">
      <c r="B18" t="s">
        <v>12</v>
      </c>
      <c r="C18" s="38">
        <f>C13*C14*12</f>
        <v>180000</v>
      </c>
      <c r="D18" s="39"/>
    </row>
    <row r="19" spans="2:4" x14ac:dyDescent="0.3">
      <c r="B19" t="s">
        <v>13</v>
      </c>
      <c r="C19" s="38">
        <f>C17-C18</f>
        <v>82504.514199512254</v>
      </c>
      <c r="D19" s="39"/>
    </row>
    <row r="20" spans="2:4" x14ac:dyDescent="0.3">
      <c r="B20" t="s">
        <v>14</v>
      </c>
      <c r="C20" s="38">
        <f>C17*C15</f>
        <v>1575.0270851970736</v>
      </c>
      <c r="D20" s="39"/>
    </row>
    <row r="21" spans="2:4" x14ac:dyDescent="0.3">
      <c r="C21" s="28"/>
      <c r="D21" s="28"/>
    </row>
    <row r="22" spans="2:4" ht="24.75" customHeight="1" x14ac:dyDescent="0.3">
      <c r="B22" s="2" t="s">
        <v>15</v>
      </c>
      <c r="C22" s="2"/>
      <c r="D22" s="2"/>
    </row>
    <row r="23" spans="2:4" x14ac:dyDescent="0.3"/>
    <row r="24" spans="2:4" x14ac:dyDescent="0.3">
      <c r="B24" s="4" t="s">
        <v>16</v>
      </c>
      <c r="C24" s="4" t="s">
        <v>17</v>
      </c>
      <c r="D24" s="4" t="s">
        <v>18</v>
      </c>
    </row>
    <row r="25" spans="2:4" x14ac:dyDescent="0.3">
      <c r="B25" s="5" t="s">
        <v>19</v>
      </c>
      <c r="C25" s="6">
        <f>IFERROR(VLOOKUP(C8&amp;"-papel",Perfis!B:E,4,FALSE()),0)</f>
        <v>0.2</v>
      </c>
      <c r="D25" s="7">
        <f>C13*C25</f>
        <v>300</v>
      </c>
    </row>
    <row r="26" spans="2:4" x14ac:dyDescent="0.3">
      <c r="B26" s="5" t="s">
        <v>20</v>
      </c>
      <c r="C26" s="6">
        <f>IFERROR(VLOOKUP(C8&amp;"-tijolo",Perfis!B:E,4,FALSE()),0)</f>
        <v>0.1</v>
      </c>
      <c r="D26" s="7">
        <f>C13*C26</f>
        <v>150</v>
      </c>
    </row>
    <row r="27" spans="2:4" x14ac:dyDescent="0.3">
      <c r="B27" s="5" t="s">
        <v>21</v>
      </c>
      <c r="C27" s="6">
        <f>IFERROR(VLOOKUP(C8&amp;"-hibridos",Perfis!B:E,4,FALSE()),0)</f>
        <v>0.05</v>
      </c>
      <c r="D27" s="7">
        <f>C13*C27</f>
        <v>75</v>
      </c>
    </row>
    <row r="28" spans="2:4" x14ac:dyDescent="0.3">
      <c r="B28" s="5" t="s">
        <v>22</v>
      </c>
      <c r="C28" s="6">
        <f>IFERROR(VLOOKUP(C8&amp;"-fofs",Perfis!B:E,4,FALSE()),0)</f>
        <v>0.05</v>
      </c>
      <c r="D28" s="7">
        <f>C13*C28</f>
        <v>75</v>
      </c>
    </row>
    <row r="29" spans="2:4" x14ac:dyDescent="0.3">
      <c r="B29" s="5" t="s">
        <v>23</v>
      </c>
      <c r="C29" s="6">
        <f>IFERROR(VLOOKUP(C8&amp;"-desenvolvimento",Perfis!B:E,4,FALSE()),0)</f>
        <v>0.4</v>
      </c>
      <c r="D29" s="7">
        <f>C13*C29</f>
        <v>600</v>
      </c>
    </row>
    <row r="30" spans="2:4" x14ac:dyDescent="0.3">
      <c r="B30" s="5" t="s">
        <v>24</v>
      </c>
      <c r="C30" s="6">
        <f>IFERROR(VLOOKUP(C8&amp;"-hotelaria",Perfis!B:E,4,FALSE()),0)</f>
        <v>0.2</v>
      </c>
      <c r="D30" s="7">
        <f>C13*C30</f>
        <v>300</v>
      </c>
    </row>
    <row r="31" spans="2:4" x14ac:dyDescent="0.3">
      <c r="B31" s="4" t="s">
        <v>25</v>
      </c>
      <c r="C31" s="8">
        <f>SUM(C25:C30)</f>
        <v>1</v>
      </c>
      <c r="D31" s="9">
        <f>SUM(D25:D30)</f>
        <v>1500</v>
      </c>
    </row>
    <row r="32" spans="2:4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</sheetData>
  <mergeCells count="20">
    <mergeCell ref="C6:D6"/>
    <mergeCell ref="C7:D7"/>
    <mergeCell ref="C8:D8"/>
    <mergeCell ref="C9:D9"/>
    <mergeCell ref="C10:D10"/>
    <mergeCell ref="C12:D12"/>
    <mergeCell ref="C13:D13"/>
    <mergeCell ref="C14:D14"/>
    <mergeCell ref="C15:D15"/>
    <mergeCell ref="C17:D17"/>
    <mergeCell ref="C18:D18"/>
    <mergeCell ref="C19:D19"/>
    <mergeCell ref="C20:D20"/>
    <mergeCell ref="C16:D16"/>
    <mergeCell ref="B2:D2"/>
    <mergeCell ref="B4:D4"/>
    <mergeCell ref="B11:D11"/>
    <mergeCell ref="B22:D22"/>
    <mergeCell ref="C5:D5"/>
    <mergeCell ref="C21:D21"/>
  </mergeCells>
  <dataValidations count="1">
    <dataValidation type="list" sqref="C8" xr:uid="{00000000-0002-0000-0000-000000000000}">
      <formula1>"Conservador,Moderado,Agressivo"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showGridLines="0" zoomScaleNormal="100" workbookViewId="0">
      <selection activeCell="D16" sqref="D16"/>
    </sheetView>
  </sheetViews>
  <sheetFormatPr defaultColWidth="0" defaultRowHeight="14.4" zeroHeight="1" x14ac:dyDescent="0.3"/>
  <cols>
    <col min="1" max="1" width="4.44140625" customWidth="1"/>
    <col min="2" max="2" width="28.21875" bestFit="1" customWidth="1"/>
    <col min="3" max="3" width="11.77734375" bestFit="1" customWidth="1"/>
    <col min="4" max="4" width="16.21875" bestFit="1" customWidth="1"/>
    <col min="5" max="5" width="15.109375" bestFit="1" customWidth="1"/>
    <col min="6" max="6" width="8.6640625" customWidth="1"/>
    <col min="7" max="16384" width="8.6640625" hidden="1"/>
  </cols>
  <sheetData>
    <row r="1" spans="2:5" x14ac:dyDescent="0.3">
      <c r="B1" s="10" t="s">
        <v>26</v>
      </c>
      <c r="C1" s="10" t="s">
        <v>27</v>
      </c>
      <c r="D1" s="10" t="s">
        <v>28</v>
      </c>
      <c r="E1" s="10" t="s">
        <v>17</v>
      </c>
    </row>
    <row r="2" spans="2:5" x14ac:dyDescent="0.3">
      <c r="B2" t="s">
        <v>29</v>
      </c>
      <c r="C2" t="s">
        <v>30</v>
      </c>
      <c r="D2" t="s">
        <v>31</v>
      </c>
      <c r="E2" s="11">
        <v>0.3</v>
      </c>
    </row>
    <row r="3" spans="2:5" x14ac:dyDescent="0.3">
      <c r="B3" t="s">
        <v>32</v>
      </c>
      <c r="C3" t="s">
        <v>30</v>
      </c>
      <c r="D3" t="s">
        <v>33</v>
      </c>
      <c r="E3" s="11">
        <v>0.5</v>
      </c>
    </row>
    <row r="4" spans="2:5" x14ac:dyDescent="0.3">
      <c r="B4" t="s">
        <v>34</v>
      </c>
      <c r="C4" t="s">
        <v>30</v>
      </c>
      <c r="D4" t="s">
        <v>35</v>
      </c>
      <c r="E4" s="11">
        <v>0.1</v>
      </c>
    </row>
    <row r="5" spans="2:5" x14ac:dyDescent="0.3">
      <c r="B5" t="s">
        <v>36</v>
      </c>
      <c r="C5" t="s">
        <v>30</v>
      </c>
      <c r="D5" t="s">
        <v>37</v>
      </c>
      <c r="E5" s="11">
        <v>0.1</v>
      </c>
    </row>
    <row r="6" spans="2:5" x14ac:dyDescent="0.3">
      <c r="B6" t="s">
        <v>38</v>
      </c>
      <c r="C6" t="s">
        <v>30</v>
      </c>
      <c r="D6" t="s">
        <v>39</v>
      </c>
      <c r="E6" s="11">
        <v>0</v>
      </c>
    </row>
    <row r="7" spans="2:5" x14ac:dyDescent="0.3">
      <c r="B7" t="s">
        <v>40</v>
      </c>
      <c r="C7" t="s">
        <v>30</v>
      </c>
      <c r="D7" t="s">
        <v>41</v>
      </c>
      <c r="E7" s="11">
        <v>0</v>
      </c>
    </row>
    <row r="8" spans="2:5" x14ac:dyDescent="0.3">
      <c r="B8" t="s">
        <v>42</v>
      </c>
      <c r="C8" t="s">
        <v>5</v>
      </c>
      <c r="D8" t="s">
        <v>31</v>
      </c>
      <c r="E8" s="11">
        <v>0.32</v>
      </c>
    </row>
    <row r="9" spans="2:5" x14ac:dyDescent="0.3">
      <c r="B9" t="s">
        <v>43</v>
      </c>
      <c r="C9" t="s">
        <v>5</v>
      </c>
      <c r="D9" t="s">
        <v>33</v>
      </c>
      <c r="E9" s="11">
        <v>0.35</v>
      </c>
    </row>
    <row r="10" spans="2:5" x14ac:dyDescent="0.3">
      <c r="B10" t="s">
        <v>44</v>
      </c>
      <c r="C10" t="s">
        <v>5</v>
      </c>
      <c r="D10" t="s">
        <v>35</v>
      </c>
      <c r="E10" s="11">
        <v>0.08</v>
      </c>
    </row>
    <row r="11" spans="2:5" x14ac:dyDescent="0.3">
      <c r="B11" t="s">
        <v>45</v>
      </c>
      <c r="C11" t="s">
        <v>5</v>
      </c>
      <c r="D11" t="s">
        <v>37</v>
      </c>
      <c r="E11" s="11">
        <v>0.05</v>
      </c>
    </row>
    <row r="12" spans="2:5" x14ac:dyDescent="0.3">
      <c r="B12" t="s">
        <v>46</v>
      </c>
      <c r="C12" t="s">
        <v>5</v>
      </c>
      <c r="D12" t="s">
        <v>39</v>
      </c>
      <c r="E12" s="11">
        <v>0.1</v>
      </c>
    </row>
    <row r="13" spans="2:5" x14ac:dyDescent="0.3">
      <c r="B13" t="s">
        <v>47</v>
      </c>
      <c r="C13" t="s">
        <v>5</v>
      </c>
      <c r="D13" t="s">
        <v>41</v>
      </c>
      <c r="E13" s="11">
        <v>0.1</v>
      </c>
    </row>
    <row r="14" spans="2:5" x14ac:dyDescent="0.3">
      <c r="B14" t="s">
        <v>48</v>
      </c>
      <c r="C14" t="s">
        <v>49</v>
      </c>
      <c r="D14" t="s">
        <v>31</v>
      </c>
      <c r="E14" s="11">
        <v>0.2</v>
      </c>
    </row>
    <row r="15" spans="2:5" x14ac:dyDescent="0.3">
      <c r="B15" t="s">
        <v>50</v>
      </c>
      <c r="C15" t="s">
        <v>49</v>
      </c>
      <c r="D15" t="s">
        <v>33</v>
      </c>
      <c r="E15" s="11">
        <v>0.1</v>
      </c>
    </row>
    <row r="16" spans="2:5" x14ac:dyDescent="0.3">
      <c r="B16" t="s">
        <v>51</v>
      </c>
      <c r="C16" t="s">
        <v>49</v>
      </c>
      <c r="D16" t="s">
        <v>35</v>
      </c>
      <c r="E16" s="11">
        <v>0.05</v>
      </c>
    </row>
    <row r="17" spans="2:5" x14ac:dyDescent="0.3">
      <c r="B17" t="s">
        <v>52</v>
      </c>
      <c r="C17" t="s">
        <v>49</v>
      </c>
      <c r="D17" t="s">
        <v>37</v>
      </c>
      <c r="E17" s="11">
        <v>0.05</v>
      </c>
    </row>
    <row r="18" spans="2:5" x14ac:dyDescent="0.3">
      <c r="B18" t="s">
        <v>53</v>
      </c>
      <c r="C18" t="s">
        <v>49</v>
      </c>
      <c r="D18" t="s">
        <v>39</v>
      </c>
      <c r="E18" s="11">
        <v>0.4</v>
      </c>
    </row>
    <row r="19" spans="2:5" x14ac:dyDescent="0.3">
      <c r="B19" t="s">
        <v>54</v>
      </c>
      <c r="C19" t="s">
        <v>49</v>
      </c>
      <c r="D19" t="s">
        <v>41</v>
      </c>
      <c r="E19" s="11">
        <v>0.2</v>
      </c>
    </row>
    <row r="20" spans="2:5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35"/>
  <sheetViews>
    <sheetView showGridLines="0" showRowColHeaders="0" tabSelected="1" topLeftCell="A2" zoomScaleNormal="100" workbookViewId="0">
      <selection activeCell="B2" sqref="B2:E2"/>
    </sheetView>
  </sheetViews>
  <sheetFormatPr defaultColWidth="0" defaultRowHeight="14.4" zeroHeight="1" x14ac:dyDescent="0.3"/>
  <cols>
    <col min="1" max="1" width="3" customWidth="1"/>
    <col min="2" max="2" width="27.21875" customWidth="1"/>
    <col min="3" max="3" width="28" customWidth="1"/>
    <col min="4" max="4" width="26.33203125" customWidth="1"/>
    <col min="5" max="5" width="34.44140625" customWidth="1"/>
    <col min="6" max="6" width="3" customWidth="1"/>
    <col min="7" max="16384" width="8.6640625" hidden="1"/>
  </cols>
  <sheetData>
    <row r="1" spans="2:5" x14ac:dyDescent="0.3"/>
    <row r="2" spans="2:5" ht="30" customHeight="1" x14ac:dyDescent="0.3">
      <c r="B2" s="1" t="s">
        <v>55</v>
      </c>
      <c r="C2" s="1"/>
      <c r="D2" s="1"/>
      <c r="E2" s="1"/>
    </row>
    <row r="3" spans="2:5" x14ac:dyDescent="0.3"/>
    <row r="4" spans="2:5" x14ac:dyDescent="0.3">
      <c r="B4" s="12" t="s">
        <v>56</v>
      </c>
      <c r="C4" s="12" t="s">
        <v>12</v>
      </c>
      <c r="D4" s="12" t="s">
        <v>57</v>
      </c>
      <c r="E4" s="12" t="s">
        <v>58</v>
      </c>
    </row>
    <row r="5" spans="2:5" x14ac:dyDescent="0.3">
      <c r="B5" s="13">
        <v>1</v>
      </c>
      <c r="C5" s="14">
        <f>APP!C13*1*12</f>
        <v>18000</v>
      </c>
      <c r="D5" s="15">
        <f>FV(APP!C15,1*12,-APP!C13,0)</f>
        <v>18606.041930481155</v>
      </c>
      <c r="E5" s="14">
        <f>D5*APP!C15</f>
        <v>111.63625158288693</v>
      </c>
    </row>
    <row r="6" spans="2:5" x14ac:dyDescent="0.3">
      <c r="B6" s="16">
        <v>2</v>
      </c>
      <c r="C6" s="17">
        <f>APP!C13*2*12</f>
        <v>36000</v>
      </c>
      <c r="D6" s="18">
        <f>FV(APP!C15,2*12,-APP!C13,0)</f>
        <v>38596.823046237623</v>
      </c>
      <c r="E6" s="17">
        <f>D6*APP!C15</f>
        <v>231.58093827742573</v>
      </c>
    </row>
    <row r="7" spans="2:5" x14ac:dyDescent="0.3">
      <c r="B7" s="13">
        <v>3</v>
      </c>
      <c r="C7" s="14">
        <f>APP!C13*3*12</f>
        <v>54000</v>
      </c>
      <c r="D7" s="15">
        <f>FV(APP!C15,3*12,-APP!C13,0)</f>
        <v>60075.401408645368</v>
      </c>
      <c r="E7" s="14">
        <f>D7*APP!C15</f>
        <v>360.4524084518722</v>
      </c>
    </row>
    <row r="8" spans="2:5" x14ac:dyDescent="0.3">
      <c r="B8" s="16">
        <v>4</v>
      </c>
      <c r="C8" s="17">
        <f>APP!C13*4*12</f>
        <v>72000</v>
      </c>
      <c r="D8" s="18">
        <f>FV(APP!C15,4*12,-APP!C13,0)</f>
        <v>83152.505089525541</v>
      </c>
      <c r="E8" s="17">
        <f>D8*APP!C15</f>
        <v>498.91503053715326</v>
      </c>
    </row>
    <row r="9" spans="2:5" x14ac:dyDescent="0.3">
      <c r="B9" s="13">
        <v>5</v>
      </c>
      <c r="C9" s="14">
        <f>APP!C13*5*12</f>
        <v>90000</v>
      </c>
      <c r="D9" s="15">
        <f>FV(APP!C15,5*12,-APP!C13,0)</f>
        <v>107947.1030052877</v>
      </c>
      <c r="E9" s="14">
        <f>D9*APP!C15</f>
        <v>647.68261803172618</v>
      </c>
    </row>
    <row r="10" spans="2:5" x14ac:dyDescent="0.3">
      <c r="B10" s="16">
        <v>6</v>
      </c>
      <c r="C10" s="17">
        <f>APP!C13*6*12</f>
        <v>108000</v>
      </c>
      <c r="D10" s="18">
        <f>FV(APP!C15,6*12,-APP!C13,0)</f>
        <v>134587.01823493023</v>
      </c>
      <c r="E10" s="17">
        <f>D10*APP!C15</f>
        <v>807.52210940958139</v>
      </c>
    </row>
    <row r="11" spans="2:5" x14ac:dyDescent="0.3">
      <c r="B11" s="13">
        <v>7</v>
      </c>
      <c r="C11" s="14">
        <f>APP!C13*7*12</f>
        <v>126000</v>
      </c>
      <c r="D11" s="15">
        <f>FV(APP!C15,7*12,-APP!C13,0)</f>
        <v>163209.58698372162</v>
      </c>
      <c r="E11" s="14">
        <f>D11*APP!C15</f>
        <v>979.2575219023297</v>
      </c>
    </row>
    <row r="12" spans="2:5" x14ac:dyDescent="0.3">
      <c r="B12" s="16">
        <v>8</v>
      </c>
      <c r="C12" s="17">
        <f>APP!C13*8*12</f>
        <v>144000</v>
      </c>
      <c r="D12" s="18">
        <f>FV(APP!C15,8*12,-APP!C13,0)</f>
        <v>193962.36658970526</v>
      </c>
      <c r="E12" s="17">
        <f>D12*APP!C15</f>
        <v>1163.7741995382316</v>
      </c>
    </row>
    <row r="13" spans="2:5" x14ac:dyDescent="0.3">
      <c r="B13" s="13">
        <v>9</v>
      </c>
      <c r="C13" s="14">
        <f>APP!C13*9*12</f>
        <v>162000</v>
      </c>
      <c r="D13" s="15">
        <f>FV(APP!C15,9*12,-APP!C13,0)</f>
        <v>227003.89622300011</v>
      </c>
      <c r="E13" s="14">
        <f>D13*APP!C15</f>
        <v>1362.0233773380007</v>
      </c>
    </row>
    <row r="14" spans="2:5" x14ac:dyDescent="0.3">
      <c r="B14" s="16">
        <v>10</v>
      </c>
      <c r="C14" s="17">
        <f>APP!C13*10*12</f>
        <v>180000</v>
      </c>
      <c r="D14" s="18">
        <f>FV(APP!C15,10*12,-APP!C13,0)</f>
        <v>262504.51419951225</v>
      </c>
      <c r="E14" s="17">
        <f>D14*APP!C15</f>
        <v>1575.0270851970736</v>
      </c>
    </row>
    <row r="15" spans="2:5" x14ac:dyDescent="0.3">
      <c r="B15" s="40">
        <v>11</v>
      </c>
      <c r="C15" s="41">
        <f>APP!C13*11*12</f>
        <v>198000</v>
      </c>
      <c r="D15" s="42">
        <f>FV(APP!C15,11*12,-APP!C13,0)</f>
        <v>300647.23612254002</v>
      </c>
      <c r="E15" s="41">
        <f>D15*APP!C15</f>
        <v>1803.8834167352402</v>
      </c>
    </row>
    <row r="16" spans="2:5" x14ac:dyDescent="0.3">
      <c r="B16" s="43">
        <v>12</v>
      </c>
      <c r="C16" s="44">
        <f>APP!C13*12*12</f>
        <v>216000</v>
      </c>
      <c r="D16" s="45">
        <f>FV(APP!C15,12*12,-APP!C13,0)</f>
        <v>341628.69837933831</v>
      </c>
      <c r="E16" s="44">
        <f>D16*APP!C15</f>
        <v>2049.77219027603</v>
      </c>
    </row>
    <row r="17" spans="2:5" x14ac:dyDescent="0.3">
      <c r="B17" s="40">
        <v>13</v>
      </c>
      <c r="C17" s="41">
        <f>APP!C13*13*12</f>
        <v>234000</v>
      </c>
      <c r="D17" s="42">
        <f>FV(APP!C15,13*12,-APP!C13,0)</f>
        <v>385660.17185662611</v>
      </c>
      <c r="E17" s="41">
        <f>D17*APP!C15</f>
        <v>2313.9610311397569</v>
      </c>
    </row>
    <row r="18" spans="2:5" x14ac:dyDescent="0.3">
      <c r="B18" s="43">
        <v>14</v>
      </c>
      <c r="C18" s="44">
        <f>APP!C13*14*12</f>
        <v>252000</v>
      </c>
      <c r="D18" s="45">
        <f>FV(APP!C15,14*12,-APP!C13,0)</f>
        <v>432968.65110103111</v>
      </c>
      <c r="E18" s="44">
        <f>D18*APP!C15</f>
        <v>2597.8119066061868</v>
      </c>
    </row>
    <row r="19" spans="2:5" x14ac:dyDescent="0.3">
      <c r="B19" s="40">
        <v>15</v>
      </c>
      <c r="C19" s="41">
        <f>APP!C13*15*12</f>
        <v>270000</v>
      </c>
      <c r="D19" s="42">
        <f>FV(APP!C15,15*12,-APP!C13,0)</f>
        <v>483798.02453939087</v>
      </c>
      <c r="E19" s="41">
        <f>D19*APP!C15</f>
        <v>2902.7881472363451</v>
      </c>
    </row>
    <row r="20" spans="2:5" x14ac:dyDescent="0.3">
      <c r="B20" s="43">
        <v>16</v>
      </c>
      <c r="C20" s="44">
        <f>APP!C13*16*12</f>
        <v>288000</v>
      </c>
      <c r="D20" s="45">
        <f>FV(APP!C15,16*12,-APP!C13,0)</f>
        <v>538410.33179172745</v>
      </c>
      <c r="E20" s="44">
        <f>D20*APP!C15</f>
        <v>3230.4619907503647</v>
      </c>
    </row>
    <row r="21" spans="2:5" x14ac:dyDescent="0.3">
      <c r="B21" s="40">
        <v>17</v>
      </c>
      <c r="C21" s="41">
        <f>APP!C13*17*12</f>
        <v>306000</v>
      </c>
      <c r="D21" s="42">
        <f>FV(APP!C15,17*12,-APP!C13,0)</f>
        <v>597087.11455869314</v>
      </c>
      <c r="E21" s="41">
        <f>D21*APP!C15</f>
        <v>3582.5226873521588</v>
      </c>
    </row>
    <row r="22" spans="2:5" x14ac:dyDescent="0.3">
      <c r="B22" s="43">
        <v>18</v>
      </c>
      <c r="C22" s="44">
        <f>APP!C13*18*12</f>
        <v>324000</v>
      </c>
      <c r="D22" s="45">
        <f>FV(APP!C15,18*12,-APP!C13,0)</f>
        <v>660130.86804769048</v>
      </c>
      <c r="E22" s="44">
        <f>D22*APP!C15</f>
        <v>3960.7852082861432</v>
      </c>
    </row>
    <row r="23" spans="2:5" x14ac:dyDescent="0.3">
      <c r="B23" s="40">
        <v>19</v>
      </c>
      <c r="C23" s="41">
        <f>APP!C13*19*12</f>
        <v>342000</v>
      </c>
      <c r="D23" s="42">
        <f>FV(APP!C15,19*12,-APP!C13,0)</f>
        <v>727866.60042017256</v>
      </c>
      <c r="E23" s="41">
        <f>D23*APP!C15</f>
        <v>4367.1996025210356</v>
      </c>
    </row>
    <row r="24" spans="2:5" x14ac:dyDescent="0.3">
      <c r="B24" s="43">
        <v>20</v>
      </c>
      <c r="C24" s="44">
        <f>APP!C13*20*12</f>
        <v>360000</v>
      </c>
      <c r="D24" s="45">
        <f>FV(APP!C15,20*12,-APP!C13,0)</f>
        <v>800643.50829951186</v>
      </c>
      <c r="E24" s="44">
        <f>D24*APP!C15</f>
        <v>4803.8610497970712</v>
      </c>
    </row>
    <row r="25" spans="2:5" x14ac:dyDescent="0.3">
      <c r="B25" s="40">
        <v>21</v>
      </c>
      <c r="C25" s="41">
        <f>APP!C13*21*12</f>
        <v>378000</v>
      </c>
      <c r="D25" s="42">
        <f>FV(APP!C15,21*12,-APP!C13,0)</f>
        <v>878836.77697714581</v>
      </c>
      <c r="E25" s="41">
        <f>D25*APP!C15</f>
        <v>5273.0206618628754</v>
      </c>
    </row>
    <row r="26" spans="2:5" x14ac:dyDescent="0.3">
      <c r="B26" s="43">
        <v>22</v>
      </c>
      <c r="C26" s="44">
        <f>APP!C13*22*12</f>
        <v>396000</v>
      </c>
      <c r="D26" s="45">
        <f>FV(APP!C15,22*12,-APP!C13,0)</f>
        <v>962849.51459756994</v>
      </c>
      <c r="E26" s="44">
        <f>D26*APP!C15</f>
        <v>5777.09708758542</v>
      </c>
    </row>
    <row r="27" spans="2:5" x14ac:dyDescent="0.3">
      <c r="B27" s="40">
        <v>23</v>
      </c>
      <c r="C27" s="41">
        <f>APP!C13*23*12</f>
        <v>414000</v>
      </c>
      <c r="D27" s="42">
        <f>FV(APP!C15,23*12,-APP!C13,0)</f>
        <v>1053114.8302934344</v>
      </c>
      <c r="E27" s="41">
        <f>D27*APP!C15</f>
        <v>6318.688981760607</v>
      </c>
    </row>
    <row r="28" spans="2:5" x14ac:dyDescent="0.3">
      <c r="B28" s="43">
        <v>24</v>
      </c>
      <c r="C28" s="44">
        <f>APP!C13*24*12</f>
        <v>432000</v>
      </c>
      <c r="D28" s="45">
        <f>FV(APP!C15,24*12,-APP!C13,0)</f>
        <v>1150098.0669841203</v>
      </c>
      <c r="E28" s="44">
        <f>D28*APP!C15</f>
        <v>6900.5884019047216</v>
      </c>
    </row>
    <row r="29" spans="2:5" x14ac:dyDescent="0.3">
      <c r="B29" s="40">
        <v>25</v>
      </c>
      <c r="C29" s="41">
        <f>APP!C13*25*12</f>
        <v>450000</v>
      </c>
      <c r="D29" s="42">
        <f>FV(APP!C15,25*12,-APP!C13,0)</f>
        <v>1254299.2003484888</v>
      </c>
      <c r="E29" s="41">
        <f>D29*APP!C15</f>
        <v>7525.7952020909324</v>
      </c>
    </row>
    <row r="30" spans="2:5" x14ac:dyDescent="0.3">
      <c r="B30" s="43">
        <v>26</v>
      </c>
      <c r="C30" s="44">
        <f>APP!C13*26*12</f>
        <v>468000</v>
      </c>
      <c r="D30" s="45">
        <f>FV(APP!C15,26*12,-APP!C13,0)</f>
        <v>1366255.4163391821</v>
      </c>
      <c r="E30" s="44">
        <f>D30*APP!C15</f>
        <v>8197.5324980350924</v>
      </c>
    </row>
    <row r="31" spans="2:5" x14ac:dyDescent="0.3">
      <c r="B31" s="40">
        <v>27</v>
      </c>
      <c r="C31" s="41">
        <f>APP!C13*27*12</f>
        <v>486000</v>
      </c>
      <c r="D31" s="42">
        <f>FV(APP!C15,27*12,-APP!C13,0)</f>
        <v>1486543.8805262782</v>
      </c>
      <c r="E31" s="41">
        <f>D31*APP!C15</f>
        <v>8919.2632831576684</v>
      </c>
    </row>
    <row r="32" spans="2:5" x14ac:dyDescent="0.3">
      <c r="B32" s="43">
        <v>28</v>
      </c>
      <c r="C32" s="44">
        <f>APP!C13*28*12</f>
        <v>504000</v>
      </c>
      <c r="D32" s="45">
        <f>FV(APP!C15,28*12,-APP!C13,0)</f>
        <v>1615784.7135470475</v>
      </c>
      <c r="E32" s="44">
        <f>D32*APP!C15</f>
        <v>9694.7082812822846</v>
      </c>
    </row>
    <row r="33" spans="2:5" x14ac:dyDescent="0.3">
      <c r="B33" s="40">
        <v>29</v>
      </c>
      <c r="C33" s="41">
        <f>APP!C13*29*12</f>
        <v>522000</v>
      </c>
      <c r="D33" s="42">
        <f>FV(APP!C15,29*12,-APP!C13,0)</f>
        <v>1754644.1880010765</v>
      </c>
      <c r="E33" s="41">
        <f>D33*APP!C15</f>
        <v>10527.865128006459</v>
      </c>
    </row>
    <row r="34" spans="2:5" x14ac:dyDescent="0.3">
      <c r="B34" s="43">
        <v>30</v>
      </c>
      <c r="C34" s="44">
        <f>APP!C13*30*12</f>
        <v>540000</v>
      </c>
      <c r="D34" s="45">
        <f>FV(APP!C15,30*12,-APP!C13,0)</f>
        <v>1903838.1632716495</v>
      </c>
      <c r="E34" s="44">
        <f>D34*APP!C15</f>
        <v>11423.028979629897</v>
      </c>
    </row>
    <row r="35" spans="2:5" x14ac:dyDescent="0.3"/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APP</vt:lpstr>
      <vt:lpstr>Perfis</vt:lpstr>
      <vt:lpstr>Evolução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Vitor de Brito</cp:lastModifiedBy>
  <cp:revision>0</cp:revision>
  <dcterms:created xsi:type="dcterms:W3CDTF">2026-02-08T15:25:35Z</dcterms:created>
  <dcterms:modified xsi:type="dcterms:W3CDTF">2026-02-08T17:31:38Z</dcterms:modified>
  <dc:language>en-US</dc:language>
</cp:coreProperties>
</file>